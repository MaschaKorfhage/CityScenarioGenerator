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R:\jobs_hisim\cluster-hisim-paper\job_array_for_hisim_mass_simus\hisim_config_generation\data_used_for_config_generation\"/>
    </mc:Choice>
  </mc:AlternateContent>
  <xr:revisionPtr revIDLastSave="0" documentId="13_ncr:1_{9E6EC59F-19FF-4BA9-8981-19787AB477A4}" xr6:coauthVersionLast="47" xr6:coauthVersionMax="47" xr10:uidLastSave="{00000000-0000-0000-0000-000000000000}"/>
  <bookViews>
    <workbookView xWindow="1260" yWindow="1740" windowWidth="17328" windowHeight="11328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2" i="1"/>
  <c r="L3" i="1"/>
  <c r="L2" i="1"/>
  <c r="I7" i="1"/>
  <c r="I6" i="1"/>
  <c r="I5" i="1"/>
  <c r="I4" i="1"/>
  <c r="I3" i="1"/>
  <c r="I2" i="1"/>
  <c r="F4" i="1"/>
  <c r="F3" i="1"/>
  <c r="F2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<sst xmlns="http://schemas.openxmlformats.org/spreadsheetml/2006/main" count="35" uniqueCount="35">
  <si>
    <t>Info:</t>
  </si>
  <si>
    <t>Zensus Daten 2011 Wohnungsgrößen Statistik Deutschland</t>
  </si>
  <si>
    <t>https://www.zensus2011.de/SharedDocs/Downloads/DE/Publikationen/Aufsaetze_Archiv/2015_01_Zensus_Kompakt_endgueltig.pdf?__blob=publicationFile#:~:text=Die%20neue%20Einwohnerzahl%20Deutschlands%20ist,Männer%20(48%2C8%20%25).</t>
  </si>
  <si>
    <t>Statistische Ämter des Bundes und der Länder, Zensus Kompakt, Ausgabe 2014</t>
  </si>
  <si>
    <t>zensus household types</t>
  </si>
  <si>
    <t>single</t>
  </si>
  <si>
    <t>multiple people (no family)</t>
  </si>
  <si>
    <t>single man and kids</t>
  </si>
  <si>
    <t>single woman and kids</t>
  </si>
  <si>
    <t>couple without kids</t>
  </si>
  <si>
    <t>Seite 87, Tabelle 6</t>
  </si>
  <si>
    <t>only seniors</t>
  </si>
  <si>
    <t>non-seniors and seniors</t>
  </si>
  <si>
    <t>only non-seniors</t>
  </si>
  <si>
    <t>zensus senior status (over 65)</t>
  </si>
  <si>
    <t>number of households with senior status</t>
  </si>
  <si>
    <t>number of households with household type</t>
  </si>
  <si>
    <t>zensus number of persons per households</t>
  </si>
  <si>
    <t>number of households with number of persons</t>
  </si>
  <si>
    <t>couple with kids</t>
  </si>
  <si>
    <t>percentage household types</t>
  </si>
  <si>
    <t>percentage senior status</t>
  </si>
  <si>
    <t>percentage number of persons</t>
  </si>
  <si>
    <t>zensus gender</t>
  </si>
  <si>
    <t>male</t>
  </si>
  <si>
    <t>female</t>
  </si>
  <si>
    <t>number gender</t>
  </si>
  <si>
    <t>percentage gender</t>
  </si>
  <si>
    <t>Seite 77, Tabelle 3</t>
  </si>
  <si>
    <t>zensus working status</t>
  </si>
  <si>
    <t>number working status</t>
  </si>
  <si>
    <t>percentage working status</t>
  </si>
  <si>
    <t>working</t>
  </si>
  <si>
    <t>not working</t>
  </si>
  <si>
    <t>more than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</si>
</sst>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topLeftCell="F1" workbookViewId="0">
      <selection activeCell="N8" sqref="N8"/>
    </sheetView>
  </sheetViews>
  <sheetFormatPr baseColWidth="10" defaultColWidth="8.88671875" defaultRowHeight="14.4" x14ac:dyDescent="0.3"/>
  <cols>
    <col min="1" max="1" width="22.88671875" bestFit="1" customWidth="1"/>
    <col min="2" max="2" width="41.6640625" bestFit="1" customWidth="1"/>
    <col min="3" max="3" width="41.6640625" customWidth="1"/>
    <col min="4" max="4" width="26.6640625" bestFit="1" customWidth="1"/>
    <col min="5" max="5" width="36.77734375" bestFit="1" customWidth="1"/>
    <col min="6" max="6" width="34.33203125" customWidth="1"/>
    <col min="7" max="7" width="37.88671875" bestFit="1" customWidth="1"/>
    <col min="8" max="8" width="39.33203125" bestFit="1" customWidth="1"/>
    <col min="9" max="9" width="26" bestFit="1" customWidth="1"/>
    <col min="10" max="10" width="12.33203125" bestFit="1" customWidth="1"/>
    <col min="11" max="11" width="13.21875" bestFit="1" customWidth="1"/>
    <col min="12" max="12" width="16.21875" bestFit="1" customWidth="1"/>
    <col min="13" max="13" width="18.6640625" bestFit="1" customWidth="1"/>
    <col min="14" max="14" width="19.5546875" bestFit="1" customWidth="1"/>
    <col min="15" max="15" width="22.5546875" bestFit="1" customWidth="1"/>
  </cols>
  <sheetData>
    <row r="1" spans="1:16" x14ac:dyDescent="0.3">
      <c r="A1" t="s">
        <v>4</v>
      </c>
      <c r="B1" t="s">
        <v>16</v>
      </c>
      <c r="C1" t="s">
        <v>20</v>
      </c>
      <c r="D1" t="s">
        <v>14</v>
      </c>
      <c r="E1" t="s">
        <v>15</v>
      </c>
      <c r="F1" t="s">
        <v>21</v>
      </c>
      <c r="G1" t="s">
        <v>17</v>
      </c>
      <c r="H1" t="s">
        <v>18</v>
      </c>
      <c r="I1" t="s">
        <v>22</v>
      </c>
      <c r="J1" t="s">
        <v>23</v>
      </c>
      <c r="K1" t="s">
        <v>26</v>
      </c>
      <c r="L1" t="s">
        <v>27</v>
      </c>
      <c r="M1" t="s">
        <v>29</v>
      </c>
      <c r="N1" t="s">
        <v>30</v>
      </c>
      <c r="O1" t="s">
        <v>31</v>
      </c>
      <c r="P1" t="s">
        <v>0</v>
      </c>
    </row>
    <row r="2" spans="1:16" x14ac:dyDescent="0.3">
      <c r="A2" t="s">
        <v>5</v>
      </c>
      <c r="B2">
        <v>13960811</v>
      </c>
      <c r="C2">
        <f>B2/SUM(B2:B7)</f>
        <v>0.37158259358047446</v>
      </c>
      <c r="D2" t="s">
        <v>11</v>
      </c>
      <c r="E2">
        <v>8264238</v>
      </c>
      <c r="F2">
        <f>E2/SUM(E2:E4)</f>
        <v>0.21996193416029436</v>
      </c>
      <c r="G2">
        <v>1</v>
      </c>
      <c r="H2">
        <v>13960811</v>
      </c>
      <c r="I2">
        <f>H2/SUM(H2:H7)</f>
        <v>0.37158259358047446</v>
      </c>
      <c r="J2" t="s">
        <v>24</v>
      </c>
      <c r="K2">
        <v>38828790</v>
      </c>
      <c r="L2">
        <f>K2/SUM(K2:K3)</f>
        <v>0.4874796803901767</v>
      </c>
      <c r="M2" t="s">
        <v>32</v>
      </c>
      <c r="N2">
        <v>41049730</v>
      </c>
      <c r="O2">
        <f>N2/SUM(N2:N3)</f>
        <v>0.51536267961229409</v>
      </c>
      <c r="P2" t="s">
        <v>1</v>
      </c>
    </row>
    <row r="3" spans="1:16" x14ac:dyDescent="0.3">
      <c r="A3" t="s">
        <v>9</v>
      </c>
      <c r="B3">
        <v>10373305</v>
      </c>
      <c r="C3">
        <f>B3/SUM(B2:B7)</f>
        <v>0.27609711039718993</v>
      </c>
      <c r="D3" t="s">
        <v>12</v>
      </c>
      <c r="E3">
        <v>3346148</v>
      </c>
      <c r="F3">
        <f>E3/SUM(E2:E4)</f>
        <v>8.9061470164170084E-2</v>
      </c>
      <c r="G3">
        <v>2</v>
      </c>
      <c r="H3">
        <v>12455731</v>
      </c>
      <c r="I3">
        <f>H3/SUM(H2:H7)</f>
        <v>0.33152320663324764</v>
      </c>
      <c r="J3" t="s">
        <v>25</v>
      </c>
      <c r="K3">
        <v>40823330</v>
      </c>
      <c r="L3">
        <f>K3/SUM(K2:K3)</f>
        <v>0.51252031960982336</v>
      </c>
      <c r="M3" t="s">
        <v>33</v>
      </c>
      <c r="N3">
        <v>38602390</v>
      </c>
      <c r="O3">
        <f>N3/SUM(N2:N3)</f>
        <v>0.48463732038770596</v>
      </c>
      <c r="P3" t="s">
        <v>2</v>
      </c>
    </row>
    <row r="4" spans="1:16" x14ac:dyDescent="0.3">
      <c r="A4" t="s">
        <v>19</v>
      </c>
      <c r="B4">
        <v>9366960</v>
      </c>
      <c r="C4">
        <f>B4/SUM(B2:B7)</f>
        <v>0.24931211308315548</v>
      </c>
      <c r="D4" t="s">
        <v>13</v>
      </c>
      <c r="E4">
        <v>25960833</v>
      </c>
      <c r="F4">
        <f>E4/SUM(E2:E4)</f>
        <v>0.6909765956755356</v>
      </c>
      <c r="G4">
        <v>3</v>
      </c>
      <c r="H4">
        <v>5454875</v>
      </c>
      <c r="I4">
        <f>H4/SUM(H2:H7)</f>
        <v>0.14518759692093036</v>
      </c>
      <c r="P4" t="s">
        <v>3</v>
      </c>
    </row>
    <row r="5" spans="1:16" x14ac:dyDescent="0.3">
      <c r="A5" t="s">
        <v>7</v>
      </c>
      <c r="B5">
        <v>476424</v>
      </c>
      <c r="C5">
        <f>B5/SUM(B2:B7)</f>
        <v>1.2680557423489506E-2</v>
      </c>
      <c r="G5">
        <v>4</v>
      </c>
      <c r="H5">
        <v>3906260</v>
      </c>
      <c r="I5">
        <f>H5/SUM(H2:H7)</f>
        <v>0.10396947727461278</v>
      </c>
      <c r="P5" t="s">
        <v>10</v>
      </c>
    </row>
    <row r="6" spans="1:16" x14ac:dyDescent="0.3">
      <c r="A6" t="s">
        <v>8</v>
      </c>
      <c r="B6">
        <v>2442356</v>
      </c>
      <c r="C6">
        <f>B6/SUM(B2:B7)</f>
        <v>6.5006035604008486E-2</v>
      </c>
      <c r="G6">
        <v>5</v>
      </c>
      <c r="H6">
        <v>1222149</v>
      </c>
      <c r="I6">
        <f>H6/SUM(H2:H7)</f>
        <v>3.2528862052625972E-2</v>
      </c>
      <c r="P6" t="s">
        <v>28</v>
      </c>
    </row>
    <row r="7" spans="1:16" x14ac:dyDescent="0.3">
      <c r="A7" t="s">
        <v>6</v>
      </c>
      <c r="B7">
        <v>951363</v>
      </c>
      <c r="C7">
        <f>B7/SUM(B2:B7)</f>
        <v>2.5321589911682131E-2</v>
      </c>
      <c r="G7" t="s">
        <v>34</v>
      </c>
      <c r="H7">
        <v>571393</v>
      </c>
      <c r="I7">
        <f>H7/SUM(H2:H7)</f>
        <v>1.5208263538108785E-2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Katharina Rieck</dc:creator>
  <cp:lastModifiedBy>Rieck, Katharina</cp:lastModifiedBy>
  <dcterms:created xsi:type="dcterms:W3CDTF">2015-06-05T18:19:34Z</dcterms:created>
  <dcterms:modified xsi:type="dcterms:W3CDTF">2024-04-22T18:21:48Z</dcterms:modified>
</cp:coreProperties>
</file>