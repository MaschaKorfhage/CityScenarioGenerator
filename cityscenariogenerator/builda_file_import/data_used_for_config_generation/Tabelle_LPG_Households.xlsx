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R:\jobs_hisim\cluster-hisim-paper\job_array_for_hisim_mass_simus\hisim_config_generation\data_used_for_config_generation\"/>
    </mc:Choice>
  </mc:AlternateContent>
  <xr:revisionPtr revIDLastSave="0" documentId="13_ncr:1_{E7D48C94-EE61-40BC-949A-9D83FF83A6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5" i="1"/>
  <c r="F4" i="1"/>
  <c r="F6" i="1"/>
  <c r="J5" i="1"/>
  <c r="J6" i="1"/>
  <c r="J7" i="1"/>
  <c r="J8" i="1"/>
  <c r="J9" i="1"/>
  <c r="J10" i="1"/>
  <c r="J11" i="1"/>
  <c r="J12" i="1"/>
  <c r="J13" i="1"/>
  <c r="J14" i="1"/>
  <c r="J17" i="1"/>
  <c r="J18" i="1"/>
  <c r="J19" i="1"/>
  <c r="J22" i="1"/>
  <c r="J23" i="1"/>
  <c r="J24" i="1"/>
  <c r="J25" i="1"/>
  <c r="J26" i="1"/>
  <c r="J27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7" i="1"/>
  <c r="J49" i="1"/>
  <c r="J51" i="1"/>
  <c r="J52" i="1"/>
  <c r="J53" i="1"/>
  <c r="J54" i="1"/>
  <c r="J55" i="1"/>
  <c r="J56" i="1"/>
  <c r="J57" i="1"/>
  <c r="J58" i="1"/>
  <c r="J59" i="1"/>
  <c r="J63" i="1"/>
  <c r="J64" i="1"/>
  <c r="J65" i="1"/>
  <c r="J4" i="1"/>
  <c r="J3" i="1"/>
  <c r="I20" i="1"/>
  <c r="J20" i="1" s="1"/>
  <c r="I21" i="1"/>
  <c r="J21" i="1" s="1"/>
  <c r="I28" i="1"/>
  <c r="J28" i="1" s="1"/>
  <c r="I42" i="1"/>
  <c r="I43" i="1"/>
  <c r="I46" i="1"/>
  <c r="J46" i="1" s="1"/>
  <c r="I48" i="1"/>
  <c r="J48" i="1" s="1"/>
  <c r="I50" i="1"/>
  <c r="J50" i="1" s="1"/>
  <c r="I53" i="1"/>
  <c r="I60" i="1"/>
  <c r="J60" i="1" s="1"/>
  <c r="I62" i="1"/>
  <c r="J62" i="1" s="1"/>
  <c r="I61" i="1"/>
  <c r="J61" i="1" s="1"/>
  <c r="I16" i="1"/>
  <c r="J16" i="1" s="1"/>
  <c r="I15" i="1"/>
  <c r="J15" i="1" s="1"/>
  <c r="I6" i="1"/>
  <c r="I9" i="1"/>
  <c r="I4" i="1"/>
  <c r="J2" i="1"/>
  <c r="G6" i="1"/>
  <c r="G4" i="1"/>
</calcChain>
</file>

<file path=xl/sharedStrings.xml><?xml version="1.0" encoding="utf-8"?>
<sst xmlns="http://schemas.openxmlformats.org/spreadsheetml/2006/main" count="266" uniqueCount="96">
  <si>
    <t>senior status</t>
  </si>
  <si>
    <t>householdtype</t>
  </si>
  <si>
    <t>CHR01_Couple_both_at_Work</t>
  </si>
  <si>
    <t>CHR02_Couple_30_64_age_with_work</t>
  </si>
  <si>
    <t>CHR03_Family_1_child_both_at_work</t>
  </si>
  <si>
    <t>CHR04_Couple_30_64_years_1_at_work_1_at_home</t>
  </si>
  <si>
    <t>CHR05_Family_3_children_both_with_work</t>
  </si>
  <si>
    <t>CHR06_Jak_Jobless</t>
  </si>
  <si>
    <t>CHR07_Single_with_work</t>
  </si>
  <si>
    <t>CHR08_Single_woman_2_children_with_work</t>
  </si>
  <si>
    <t>CHR09_Single_woman_30_64_years_with_work</t>
  </si>
  <si>
    <t>CHR10_Single_man_30_64_age_shift_worker</t>
  </si>
  <si>
    <t>CHR11_Student_Female_Philosophy</t>
  </si>
  <si>
    <t>CHR12_Student_2_Male_Philosophy</t>
  </si>
  <si>
    <t>CHR13_Student_with_Work</t>
  </si>
  <si>
    <t>CHR15_Multigenerational_Home_working_couple_2_children_2_seniors</t>
  </si>
  <si>
    <t>CHR14_3_adults_Couple_30_64_years_both_at_work_Senior_at_home</t>
  </si>
  <si>
    <t>CHR16_Couple_over_65_years</t>
  </si>
  <si>
    <t>CHR17_Shiftworker_Couple</t>
  </si>
  <si>
    <t>CHR18_Family_2_children_parents_without_work</t>
  </si>
  <si>
    <t>CHR19_Couple_30_64_years_both_at_work_with_homehelp</t>
  </si>
  <si>
    <t>CHR20_one_at_work_one_work_home_3_children</t>
  </si>
  <si>
    <t>CHR21_Couple_30_64_years_shift_worker</t>
  </si>
  <si>
    <t>CHR22_Single_woman_1_child_with_work</t>
  </si>
  <si>
    <t>CHR23_Single_man_over_65_years</t>
  </si>
  <si>
    <t>CHR24_Single_woman_over_65_years</t>
  </si>
  <si>
    <t>CHR25_Single_woman_under_30_years_with_work</t>
  </si>
  <si>
    <t>CHR26_Single_woman_under_30_years_without_work</t>
  </si>
  <si>
    <t>CHR27_Family_both_at_work_2_children</t>
  </si>
  <si>
    <t>CHR28_Single_man_under_30_years_without_work</t>
  </si>
  <si>
    <t>CHR29_Single_man_under_30_years_with_work</t>
  </si>
  <si>
    <t>CHR30_Single_Retired_Man</t>
  </si>
  <si>
    <t>CHR31_Single_Retired_Woman</t>
  </si>
  <si>
    <t>CHR32_Couple_under_30_years_without_work</t>
  </si>
  <si>
    <t>CHR33_Couple_under_30_years_with_work</t>
  </si>
  <si>
    <t>CHR34_Couple_under_30_years_one_at_work_one_at_home</t>
  </si>
  <si>
    <t>CHR35_Single_woman_30_64_years_with_work</t>
  </si>
  <si>
    <t>CHR36_Single_woman_30_64_years_without_work</t>
  </si>
  <si>
    <t>CHR37_Single_man_30_64_years_with_work</t>
  </si>
  <si>
    <t>CHR38_Single_man_30_64_years_without_work</t>
  </si>
  <si>
    <t>CHR39_Couple_30_64_years_with_work</t>
  </si>
  <si>
    <t>CHR40_Couple_30_64_years_without_work</t>
  </si>
  <si>
    <t>CHR41_Family_with_3_children_both_at_work</t>
  </si>
  <si>
    <t>CHR42_Single_man_with_2_children_with_work</t>
  </si>
  <si>
    <t>CHR43_Single_man_with_1_child_with_work</t>
  </si>
  <si>
    <t>CHR44_Family_with_2_children_1_at_work_1_at_home</t>
  </si>
  <si>
    <t>CHR45_Family_with_1_child_1_at_work_1_at_home</t>
  </si>
  <si>
    <t>CHR46_Single_woman_1_child_without_work</t>
  </si>
  <si>
    <t>CHR47_Single_woman_2_children_without_work</t>
  </si>
  <si>
    <t>CHR48_Family_with_2_children_without_work</t>
  </si>
  <si>
    <t>CHR49_Family_with_1_child_without_work</t>
  </si>
  <si>
    <t>CHR50_Single_woman_with_3_children_without_work</t>
  </si>
  <si>
    <t>CHR51_Couple_over_65_years_II</t>
  </si>
  <si>
    <t>CHR52_Student_Flatsharing</t>
  </si>
  <si>
    <t>CHR53_2_Parents_1_Working_2_Children</t>
  </si>
  <si>
    <t>CHR54_Retired_Couple_no_work</t>
  </si>
  <si>
    <t>CHR55_Couple_with_work_around_40</t>
  </si>
  <si>
    <t>CHR56_Couple_with_2_children_husband_at_work</t>
  </si>
  <si>
    <t>CHR57_Family_with_2_Children_Man_at_work</t>
  </si>
  <si>
    <t>CHR58_Retired_Couple_no_work_no_cooking</t>
  </si>
  <si>
    <t>CHR59_Family_3_children_parents_without_work</t>
  </si>
  <si>
    <t>CHR60_Family_1_toddler_one_at_work_one_at_home</t>
  </si>
  <si>
    <t>CHS01_Couple_with_2_Children_Dad_Employed</t>
  </si>
  <si>
    <t>CHR61_Family_1_child_both_at_work_early_living_pattern</t>
  </si>
  <si>
    <t>CHS04_Retired_Couple_no_work</t>
  </si>
  <si>
    <t>CHS12_Shiftworker_Couple</t>
  </si>
  <si>
    <t>single</t>
  </si>
  <si>
    <t>non_seniors</t>
  </si>
  <si>
    <t>seniors_and_non_seniors</t>
  </si>
  <si>
    <t>seniors</t>
  </si>
  <si>
    <t>lpg household</t>
  </si>
  <si>
    <t>working status</t>
  </si>
  <si>
    <t>non-working status</t>
  </si>
  <si>
    <t>number of residents</t>
  </si>
  <si>
    <t>couple without kids</t>
  </si>
  <si>
    <t>couple with kids</t>
  </si>
  <si>
    <t>single woman and kids</t>
  </si>
  <si>
    <t>single man and kids</t>
  </si>
  <si>
    <t>multiple people (no family)</t>
  </si>
  <si>
    <t>gender</t>
  </si>
  <si>
    <t>["female", "male"]</t>
  </si>
  <si>
    <t>["female", "male", "male"]</t>
  </si>
  <si>
    <t>["female", "female", "male", "male", "male"]</t>
  </si>
  <si>
    <t>["male"]</t>
  </si>
  <si>
    <t>["female"]</t>
  </si>
  <si>
    <t>["female", "female", "male"]</t>
  </si>
  <si>
    <t>["female", "female", "female","male", "male", "male"]</t>
  </si>
  <si>
    <t>["female", "female", "male", "male"]</t>
  </si>
  <si>
    <t>["female", "male", "male", "male"]</t>
  </si>
  <si>
    <t>["female", "female"]</t>
  </si>
  <si>
    <t>["female", "female", "female", "male"]</t>
  </si>
  <si>
    <t>["male", "male"]</t>
  </si>
  <si>
    <t>["female", "female", "female", "male", "male"]</t>
  </si>
  <si>
    <t>female status</t>
  </si>
  <si>
    <t>male status</t>
  </si>
  <si>
    <t>senior status 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</si>
</sst>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2" fontId="0" fillId="0" borderId="0" xfId="1" applyNumberFormat="1" applyFon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topLeftCell="A46" workbookViewId="0">
      <selection activeCell="E66" sqref="E66"/>
    </sheetView>
  </sheetViews>
  <sheetFormatPr baseColWidth="10" defaultColWidth="8.88671875" defaultRowHeight="14.4" x14ac:dyDescent="0.3"/>
  <cols>
    <col min="1" max="1" width="81.88671875" bestFit="1" customWidth="1"/>
    <col min="2" max="2" width="25.6640625" customWidth="1"/>
    <col min="3" max="3" width="25.6640625" bestFit="1" customWidth="1"/>
    <col min="4" max="5" width="30.33203125" customWidth="1"/>
    <col min="6" max="6" width="21.109375" customWidth="1"/>
    <col min="7" max="7" width="21.77734375" customWidth="1"/>
    <col min="8" max="8" width="49.44140625" customWidth="1"/>
    <col min="9" max="9" width="18.33203125" customWidth="1"/>
    <col min="10" max="10" width="14.33203125" customWidth="1"/>
  </cols>
  <sheetData>
    <row r="1" spans="1:10" x14ac:dyDescent="0.3">
      <c r="A1" t="s">
        <v>70</v>
      </c>
      <c r="B1" t="s">
        <v>73</v>
      </c>
      <c r="C1" t="s">
        <v>1</v>
      </c>
      <c r="D1" t="s">
        <v>0</v>
      </c>
      <c r="E1" t="s">
        <v>95</v>
      </c>
      <c r="F1" t="s">
        <v>71</v>
      </c>
      <c r="G1" t="s">
        <v>72</v>
      </c>
      <c r="H1" t="s">
        <v>79</v>
      </c>
      <c r="I1" t="s">
        <v>93</v>
      </c>
      <c r="J1" t="s">
        <v>94</v>
      </c>
    </row>
    <row r="2" spans="1:10" x14ac:dyDescent="0.3">
      <c r="A2" t="s">
        <v>2</v>
      </c>
      <c r="B2">
        <v>2</v>
      </c>
      <c r="C2" t="s">
        <v>74</v>
      </c>
      <c r="D2" t="s">
        <v>67</v>
      </c>
      <c r="E2">
        <v>0</v>
      </c>
      <c r="F2">
        <v>1</v>
      </c>
      <c r="G2">
        <v>0</v>
      </c>
      <c r="H2" t="s">
        <v>80</v>
      </c>
      <c r="I2">
        <v>0.5</v>
      </c>
      <c r="J2">
        <f>1-I2</f>
        <v>0.5</v>
      </c>
    </row>
    <row r="3" spans="1:10" x14ac:dyDescent="0.3">
      <c r="A3" t="s">
        <v>3</v>
      </c>
      <c r="B3">
        <v>2</v>
      </c>
      <c r="C3" t="s">
        <v>74</v>
      </c>
      <c r="D3" t="s">
        <v>67</v>
      </c>
      <c r="E3">
        <v>0</v>
      </c>
      <c r="F3">
        <v>1</v>
      </c>
      <c r="G3">
        <v>0</v>
      </c>
      <c r="H3" t="s">
        <v>80</v>
      </c>
      <c r="I3">
        <v>0.5</v>
      </c>
      <c r="J3">
        <f>1-I3</f>
        <v>0.5</v>
      </c>
    </row>
    <row r="4" spans="1:10" x14ac:dyDescent="0.3">
      <c r="A4" t="s">
        <v>4</v>
      </c>
      <c r="B4">
        <v>3</v>
      </c>
      <c r="C4" t="s">
        <v>75</v>
      </c>
      <c r="D4" t="s">
        <v>67</v>
      </c>
      <c r="E4">
        <v>0</v>
      </c>
      <c r="F4" s="1">
        <f>2/3</f>
        <v>0.66666666666666663</v>
      </c>
      <c r="G4" s="1">
        <f>1/3</f>
        <v>0.33333333333333331</v>
      </c>
      <c r="H4" t="s">
        <v>81</v>
      </c>
      <c r="I4">
        <f>1/3</f>
        <v>0.33333333333333331</v>
      </c>
      <c r="J4">
        <f>1-I4</f>
        <v>0.66666666666666674</v>
      </c>
    </row>
    <row r="5" spans="1:10" x14ac:dyDescent="0.3">
      <c r="A5" t="s">
        <v>5</v>
      </c>
      <c r="B5">
        <v>2</v>
      </c>
      <c r="C5" t="s">
        <v>74</v>
      </c>
      <c r="D5" t="s">
        <v>67</v>
      </c>
      <c r="E5">
        <v>0</v>
      </c>
      <c r="F5">
        <v>0.5</v>
      </c>
      <c r="G5">
        <v>0.5</v>
      </c>
      <c r="H5" t="s">
        <v>80</v>
      </c>
      <c r="I5">
        <v>0.5</v>
      </c>
      <c r="J5">
        <f t="shared" ref="J5:J65" si="0">1-I5</f>
        <v>0.5</v>
      </c>
    </row>
    <row r="6" spans="1:10" x14ac:dyDescent="0.3">
      <c r="A6" t="s">
        <v>6</v>
      </c>
      <c r="B6">
        <v>5</v>
      </c>
      <c r="C6" t="s">
        <v>75</v>
      </c>
      <c r="D6" t="s">
        <v>67</v>
      </c>
      <c r="E6">
        <v>0</v>
      </c>
      <c r="F6">
        <f>2/5</f>
        <v>0.4</v>
      </c>
      <c r="G6" s="1">
        <f>3/5</f>
        <v>0.6</v>
      </c>
      <c r="H6" t="s">
        <v>82</v>
      </c>
      <c r="I6">
        <f>2/5</f>
        <v>0.4</v>
      </c>
      <c r="J6">
        <f t="shared" si="0"/>
        <v>0.6</v>
      </c>
    </row>
    <row r="7" spans="1:10" x14ac:dyDescent="0.3">
      <c r="A7" t="s">
        <v>7</v>
      </c>
      <c r="B7">
        <v>1</v>
      </c>
      <c r="C7" t="s">
        <v>66</v>
      </c>
      <c r="D7" t="s">
        <v>67</v>
      </c>
      <c r="E7">
        <v>0</v>
      </c>
      <c r="F7">
        <v>0</v>
      </c>
      <c r="G7">
        <v>1</v>
      </c>
      <c r="H7" t="s">
        <v>83</v>
      </c>
      <c r="I7">
        <v>0</v>
      </c>
      <c r="J7">
        <f t="shared" si="0"/>
        <v>1</v>
      </c>
    </row>
    <row r="8" spans="1:10" x14ac:dyDescent="0.3">
      <c r="A8" t="s">
        <v>8</v>
      </c>
      <c r="B8">
        <v>1</v>
      </c>
      <c r="C8" t="s">
        <v>66</v>
      </c>
      <c r="D8" t="s">
        <v>67</v>
      </c>
      <c r="E8">
        <v>0</v>
      </c>
      <c r="F8">
        <v>1</v>
      </c>
      <c r="G8">
        <v>0</v>
      </c>
      <c r="H8" t="s">
        <v>83</v>
      </c>
      <c r="I8">
        <v>0</v>
      </c>
      <c r="J8">
        <f t="shared" si="0"/>
        <v>1</v>
      </c>
    </row>
    <row r="9" spans="1:10" x14ac:dyDescent="0.3">
      <c r="A9" t="s">
        <v>9</v>
      </c>
      <c r="B9">
        <v>3</v>
      </c>
      <c r="C9" t="s">
        <v>76</v>
      </c>
      <c r="D9" t="s">
        <v>67</v>
      </c>
      <c r="E9">
        <v>0</v>
      </c>
      <c r="F9" s="2">
        <v>0.33333333333333331</v>
      </c>
      <c r="G9" s="1">
        <v>0.66666666666666663</v>
      </c>
      <c r="H9" t="s">
        <v>81</v>
      </c>
      <c r="I9">
        <f>1/3</f>
        <v>0.33333333333333331</v>
      </c>
      <c r="J9">
        <f t="shared" si="0"/>
        <v>0.66666666666666674</v>
      </c>
    </row>
    <row r="10" spans="1:10" x14ac:dyDescent="0.3">
      <c r="A10" t="s">
        <v>10</v>
      </c>
      <c r="B10">
        <v>1</v>
      </c>
      <c r="C10" t="s">
        <v>66</v>
      </c>
      <c r="D10" t="s">
        <v>67</v>
      </c>
      <c r="E10">
        <v>0</v>
      </c>
      <c r="F10">
        <v>1</v>
      </c>
      <c r="G10">
        <v>0</v>
      </c>
      <c r="H10" t="s">
        <v>84</v>
      </c>
      <c r="I10">
        <v>1</v>
      </c>
      <c r="J10">
        <f t="shared" si="0"/>
        <v>0</v>
      </c>
    </row>
    <row r="11" spans="1:10" x14ac:dyDescent="0.3">
      <c r="A11" t="s">
        <v>11</v>
      </c>
      <c r="B11">
        <v>1</v>
      </c>
      <c r="C11" t="s">
        <v>66</v>
      </c>
      <c r="D11" t="s">
        <v>67</v>
      </c>
      <c r="E11">
        <v>0</v>
      </c>
      <c r="F11">
        <v>1</v>
      </c>
      <c r="G11">
        <v>0</v>
      </c>
      <c r="H11" t="s">
        <v>83</v>
      </c>
      <c r="I11">
        <v>0</v>
      </c>
      <c r="J11">
        <f t="shared" si="0"/>
        <v>1</v>
      </c>
    </row>
    <row r="12" spans="1:10" x14ac:dyDescent="0.3">
      <c r="A12" t="s">
        <v>12</v>
      </c>
      <c r="B12">
        <v>1</v>
      </c>
      <c r="C12" t="s">
        <v>66</v>
      </c>
      <c r="D12" t="s">
        <v>67</v>
      </c>
      <c r="E12">
        <v>0</v>
      </c>
      <c r="F12">
        <v>0</v>
      </c>
      <c r="G12">
        <v>1</v>
      </c>
      <c r="H12" t="s">
        <v>84</v>
      </c>
      <c r="I12">
        <v>1</v>
      </c>
      <c r="J12">
        <f t="shared" si="0"/>
        <v>0</v>
      </c>
    </row>
    <row r="13" spans="1:10" x14ac:dyDescent="0.3">
      <c r="A13" t="s">
        <v>13</v>
      </c>
      <c r="B13">
        <v>1</v>
      </c>
      <c r="C13" t="s">
        <v>66</v>
      </c>
      <c r="D13" t="s">
        <v>67</v>
      </c>
      <c r="E13">
        <v>0</v>
      </c>
      <c r="F13">
        <v>0</v>
      </c>
      <c r="G13">
        <v>1</v>
      </c>
      <c r="H13" t="s">
        <v>83</v>
      </c>
      <c r="I13">
        <v>0</v>
      </c>
      <c r="J13">
        <f t="shared" si="0"/>
        <v>1</v>
      </c>
    </row>
    <row r="14" spans="1:10" x14ac:dyDescent="0.3">
      <c r="A14" t="s">
        <v>14</v>
      </c>
      <c r="B14">
        <v>1</v>
      </c>
      <c r="C14" t="s">
        <v>66</v>
      </c>
      <c r="D14" t="s">
        <v>67</v>
      </c>
      <c r="E14">
        <v>0</v>
      </c>
      <c r="F14">
        <v>1</v>
      </c>
      <c r="G14">
        <v>0</v>
      </c>
      <c r="H14" t="s">
        <v>84</v>
      </c>
      <c r="I14">
        <v>1</v>
      </c>
      <c r="J14">
        <f t="shared" si="0"/>
        <v>0</v>
      </c>
    </row>
    <row r="15" spans="1:10" x14ac:dyDescent="0.3">
      <c r="A15" t="s">
        <v>16</v>
      </c>
      <c r="B15">
        <v>3</v>
      </c>
      <c r="C15" t="s">
        <v>78</v>
      </c>
      <c r="D15" t="s">
        <v>68</v>
      </c>
      <c r="E15">
        <f>1/3</f>
        <v>0.33333333333333331</v>
      </c>
      <c r="F15" s="1">
        <v>0.66666666666666663</v>
      </c>
      <c r="G15" s="1">
        <v>0.33333333333333331</v>
      </c>
      <c r="H15" t="s">
        <v>85</v>
      </c>
      <c r="I15">
        <f>2/3</f>
        <v>0.66666666666666663</v>
      </c>
      <c r="J15">
        <f t="shared" si="0"/>
        <v>0.33333333333333337</v>
      </c>
    </row>
    <row r="16" spans="1:10" x14ac:dyDescent="0.3">
      <c r="A16" t="s">
        <v>15</v>
      </c>
      <c r="B16">
        <v>6</v>
      </c>
      <c r="C16" t="s">
        <v>75</v>
      </c>
      <c r="D16" t="s">
        <v>68</v>
      </c>
      <c r="E16">
        <f>2/6</f>
        <v>0.33333333333333331</v>
      </c>
      <c r="F16" s="1">
        <v>0.33333333333333331</v>
      </c>
      <c r="G16" s="1">
        <v>0.66666666666666663</v>
      </c>
      <c r="H16" t="s">
        <v>86</v>
      </c>
      <c r="I16">
        <f>0.5</f>
        <v>0.5</v>
      </c>
      <c r="J16">
        <f t="shared" si="0"/>
        <v>0.5</v>
      </c>
    </row>
    <row r="17" spans="1:10" x14ac:dyDescent="0.3">
      <c r="A17" t="s">
        <v>17</v>
      </c>
      <c r="B17">
        <v>2</v>
      </c>
      <c r="C17" t="s">
        <v>74</v>
      </c>
      <c r="D17" t="s">
        <v>69</v>
      </c>
      <c r="F17" s="1">
        <v>0</v>
      </c>
      <c r="G17" s="1">
        <v>1</v>
      </c>
      <c r="H17" t="s">
        <v>80</v>
      </c>
      <c r="I17">
        <v>0.5</v>
      </c>
      <c r="J17">
        <f t="shared" si="0"/>
        <v>0.5</v>
      </c>
    </row>
    <row r="18" spans="1:10" x14ac:dyDescent="0.3">
      <c r="A18" t="s">
        <v>18</v>
      </c>
      <c r="B18">
        <v>2</v>
      </c>
      <c r="C18" t="s">
        <v>74</v>
      </c>
      <c r="D18" t="s">
        <v>67</v>
      </c>
      <c r="E18">
        <v>0</v>
      </c>
      <c r="F18" s="1">
        <v>1</v>
      </c>
      <c r="G18" s="1">
        <v>0</v>
      </c>
      <c r="H18" t="s">
        <v>80</v>
      </c>
      <c r="I18">
        <v>0.5</v>
      </c>
      <c r="J18">
        <f t="shared" si="0"/>
        <v>0.5</v>
      </c>
    </row>
    <row r="19" spans="1:10" x14ac:dyDescent="0.3">
      <c r="A19" t="s">
        <v>19</v>
      </c>
      <c r="B19">
        <v>4</v>
      </c>
      <c r="C19" t="s">
        <v>75</v>
      </c>
      <c r="D19" t="s">
        <v>67</v>
      </c>
      <c r="E19">
        <v>0</v>
      </c>
      <c r="F19" s="1">
        <v>0</v>
      </c>
      <c r="G19" s="1">
        <v>1</v>
      </c>
      <c r="H19" t="s">
        <v>87</v>
      </c>
      <c r="I19">
        <v>0.5</v>
      </c>
      <c r="J19">
        <f t="shared" si="0"/>
        <v>0.5</v>
      </c>
    </row>
    <row r="20" spans="1:10" x14ac:dyDescent="0.3">
      <c r="A20" t="s">
        <v>20</v>
      </c>
      <c r="B20">
        <v>2</v>
      </c>
      <c r="C20" t="s">
        <v>74</v>
      </c>
      <c r="D20" t="s">
        <v>67</v>
      </c>
      <c r="E20">
        <v>0</v>
      </c>
      <c r="F20" s="1">
        <v>1</v>
      </c>
      <c r="G20" s="1">
        <v>0</v>
      </c>
      <c r="H20" t="s">
        <v>85</v>
      </c>
      <c r="I20">
        <f>2/3</f>
        <v>0.66666666666666663</v>
      </c>
      <c r="J20">
        <f t="shared" si="0"/>
        <v>0.33333333333333337</v>
      </c>
    </row>
    <row r="21" spans="1:10" x14ac:dyDescent="0.3">
      <c r="A21" t="s">
        <v>21</v>
      </c>
      <c r="B21">
        <v>5</v>
      </c>
      <c r="C21" t="s">
        <v>75</v>
      </c>
      <c r="D21" t="s">
        <v>67</v>
      </c>
      <c r="E21">
        <v>0</v>
      </c>
      <c r="F21" s="1">
        <v>0.2</v>
      </c>
      <c r="G21" s="1">
        <v>0.8</v>
      </c>
      <c r="H21" t="s">
        <v>88</v>
      </c>
      <c r="I21">
        <f>1/4</f>
        <v>0.25</v>
      </c>
      <c r="J21">
        <f t="shared" si="0"/>
        <v>0.75</v>
      </c>
    </row>
    <row r="22" spans="1:10" x14ac:dyDescent="0.3">
      <c r="A22" t="s">
        <v>22</v>
      </c>
      <c r="B22">
        <v>2</v>
      </c>
      <c r="C22" t="s">
        <v>74</v>
      </c>
      <c r="D22" t="s">
        <v>67</v>
      </c>
      <c r="E22">
        <v>0</v>
      </c>
      <c r="F22" s="1">
        <v>1</v>
      </c>
      <c r="G22" s="1">
        <v>0</v>
      </c>
      <c r="H22" t="s">
        <v>80</v>
      </c>
      <c r="I22">
        <v>0.5</v>
      </c>
      <c r="J22">
        <f t="shared" si="0"/>
        <v>0.5</v>
      </c>
    </row>
    <row r="23" spans="1:10" x14ac:dyDescent="0.3">
      <c r="A23" t="s">
        <v>23</v>
      </c>
      <c r="B23">
        <v>2</v>
      </c>
      <c r="C23" t="s">
        <v>76</v>
      </c>
      <c r="D23" t="s">
        <v>67</v>
      </c>
      <c r="E23">
        <v>0</v>
      </c>
      <c r="F23" s="1">
        <v>0.5</v>
      </c>
      <c r="G23" s="1">
        <v>0.5</v>
      </c>
      <c r="H23" t="s">
        <v>89</v>
      </c>
      <c r="I23">
        <v>1</v>
      </c>
      <c r="J23">
        <f t="shared" si="0"/>
        <v>0</v>
      </c>
    </row>
    <row r="24" spans="1:10" x14ac:dyDescent="0.3">
      <c r="A24" t="s">
        <v>24</v>
      </c>
      <c r="B24">
        <v>1</v>
      </c>
      <c r="C24" t="s">
        <v>66</v>
      </c>
      <c r="D24" t="s">
        <v>69</v>
      </c>
      <c r="E24">
        <v>1</v>
      </c>
      <c r="F24" s="1">
        <v>0</v>
      </c>
      <c r="G24" s="1">
        <v>1</v>
      </c>
      <c r="H24" t="s">
        <v>83</v>
      </c>
      <c r="I24">
        <v>0</v>
      </c>
      <c r="J24">
        <f t="shared" si="0"/>
        <v>1</v>
      </c>
    </row>
    <row r="25" spans="1:10" x14ac:dyDescent="0.3">
      <c r="A25" t="s">
        <v>25</v>
      </c>
      <c r="B25">
        <v>1</v>
      </c>
      <c r="C25" t="s">
        <v>66</v>
      </c>
      <c r="D25" t="s">
        <v>69</v>
      </c>
      <c r="E25">
        <v>1</v>
      </c>
      <c r="F25" s="1">
        <v>0</v>
      </c>
      <c r="G25" s="1">
        <v>1</v>
      </c>
      <c r="H25" t="s">
        <v>84</v>
      </c>
      <c r="I25">
        <v>1</v>
      </c>
      <c r="J25">
        <f t="shared" si="0"/>
        <v>0</v>
      </c>
    </row>
    <row r="26" spans="1:10" x14ac:dyDescent="0.3">
      <c r="A26" t="s">
        <v>26</v>
      </c>
      <c r="B26">
        <v>1</v>
      </c>
      <c r="C26" t="s">
        <v>66</v>
      </c>
      <c r="D26" t="s">
        <v>67</v>
      </c>
      <c r="E26">
        <v>0</v>
      </c>
      <c r="F26" s="1">
        <v>1</v>
      </c>
      <c r="G26" s="1">
        <v>0</v>
      </c>
      <c r="H26" t="s">
        <v>84</v>
      </c>
      <c r="I26">
        <v>1</v>
      </c>
      <c r="J26">
        <f t="shared" si="0"/>
        <v>0</v>
      </c>
    </row>
    <row r="27" spans="1:10" x14ac:dyDescent="0.3">
      <c r="A27" t="s">
        <v>27</v>
      </c>
      <c r="B27">
        <v>1</v>
      </c>
      <c r="C27" t="s">
        <v>66</v>
      </c>
      <c r="D27" t="s">
        <v>67</v>
      </c>
      <c r="E27">
        <v>0</v>
      </c>
      <c r="F27" s="1">
        <v>0</v>
      </c>
      <c r="G27" s="1">
        <v>1</v>
      </c>
      <c r="H27" t="s">
        <v>84</v>
      </c>
      <c r="I27">
        <v>1</v>
      </c>
      <c r="J27">
        <f t="shared" si="0"/>
        <v>0</v>
      </c>
    </row>
    <row r="28" spans="1:10" x14ac:dyDescent="0.3">
      <c r="A28" t="s">
        <v>28</v>
      </c>
      <c r="B28">
        <v>4</v>
      </c>
      <c r="C28" t="s">
        <v>75</v>
      </c>
      <c r="D28" t="s">
        <v>67</v>
      </c>
      <c r="E28">
        <v>0</v>
      </c>
      <c r="F28" s="1">
        <v>0.5</v>
      </c>
      <c r="G28" s="1">
        <v>0.5</v>
      </c>
      <c r="H28" t="s">
        <v>90</v>
      </c>
      <c r="I28">
        <f>3/4</f>
        <v>0.75</v>
      </c>
      <c r="J28">
        <f t="shared" si="0"/>
        <v>0.25</v>
      </c>
    </row>
    <row r="29" spans="1:10" x14ac:dyDescent="0.3">
      <c r="A29" t="s">
        <v>29</v>
      </c>
      <c r="B29">
        <v>1</v>
      </c>
      <c r="C29" t="s">
        <v>66</v>
      </c>
      <c r="D29" t="s">
        <v>67</v>
      </c>
      <c r="E29">
        <v>0</v>
      </c>
      <c r="F29" s="1">
        <v>0</v>
      </c>
      <c r="G29" s="1">
        <v>1</v>
      </c>
      <c r="H29" t="s">
        <v>83</v>
      </c>
      <c r="I29">
        <v>0</v>
      </c>
      <c r="J29">
        <f t="shared" si="0"/>
        <v>1</v>
      </c>
    </row>
    <row r="30" spans="1:10" x14ac:dyDescent="0.3">
      <c r="A30" t="s">
        <v>30</v>
      </c>
      <c r="B30">
        <v>1</v>
      </c>
      <c r="C30" t="s">
        <v>66</v>
      </c>
      <c r="D30" t="s">
        <v>67</v>
      </c>
      <c r="E30">
        <v>0</v>
      </c>
      <c r="F30" s="1">
        <v>1</v>
      </c>
      <c r="G30" s="1">
        <v>0</v>
      </c>
      <c r="H30" t="s">
        <v>83</v>
      </c>
      <c r="I30">
        <v>0</v>
      </c>
      <c r="J30">
        <f t="shared" si="0"/>
        <v>1</v>
      </c>
    </row>
    <row r="31" spans="1:10" x14ac:dyDescent="0.3">
      <c r="A31" t="s">
        <v>31</v>
      </c>
      <c r="B31">
        <v>1</v>
      </c>
      <c r="C31" t="s">
        <v>66</v>
      </c>
      <c r="D31" t="s">
        <v>69</v>
      </c>
      <c r="E31">
        <v>1</v>
      </c>
      <c r="F31" s="1">
        <v>0</v>
      </c>
      <c r="G31" s="1">
        <v>1</v>
      </c>
      <c r="H31" t="s">
        <v>83</v>
      </c>
      <c r="I31">
        <v>0</v>
      </c>
      <c r="J31">
        <f t="shared" si="0"/>
        <v>1</v>
      </c>
    </row>
    <row r="32" spans="1:10" x14ac:dyDescent="0.3">
      <c r="A32" t="s">
        <v>32</v>
      </c>
      <c r="B32">
        <v>1</v>
      </c>
      <c r="C32" t="s">
        <v>66</v>
      </c>
      <c r="D32" t="s">
        <v>69</v>
      </c>
      <c r="E32">
        <v>1</v>
      </c>
      <c r="F32" s="1">
        <v>0</v>
      </c>
      <c r="G32" s="1">
        <v>1</v>
      </c>
      <c r="H32" t="s">
        <v>84</v>
      </c>
      <c r="I32">
        <v>1</v>
      </c>
      <c r="J32">
        <f t="shared" si="0"/>
        <v>0</v>
      </c>
    </row>
    <row r="33" spans="1:10" x14ac:dyDescent="0.3">
      <c r="A33" t="s">
        <v>33</v>
      </c>
      <c r="B33">
        <v>2</v>
      </c>
      <c r="C33" t="s">
        <v>74</v>
      </c>
      <c r="D33" t="s">
        <v>67</v>
      </c>
      <c r="E33">
        <v>0</v>
      </c>
      <c r="F33" s="1">
        <v>0</v>
      </c>
      <c r="G33" s="1">
        <v>1</v>
      </c>
      <c r="H33" t="s">
        <v>80</v>
      </c>
      <c r="I33">
        <v>0.5</v>
      </c>
      <c r="J33">
        <f t="shared" si="0"/>
        <v>0.5</v>
      </c>
    </row>
    <row r="34" spans="1:10" x14ac:dyDescent="0.3">
      <c r="A34" t="s">
        <v>34</v>
      </c>
      <c r="B34">
        <v>2</v>
      </c>
      <c r="C34" t="s">
        <v>74</v>
      </c>
      <c r="D34" t="s">
        <v>67</v>
      </c>
      <c r="E34">
        <v>0</v>
      </c>
      <c r="F34" s="1">
        <v>1</v>
      </c>
      <c r="G34" s="1">
        <v>0</v>
      </c>
      <c r="H34" t="s">
        <v>80</v>
      </c>
      <c r="I34">
        <v>0.5</v>
      </c>
      <c r="J34">
        <f t="shared" si="0"/>
        <v>0.5</v>
      </c>
    </row>
    <row r="35" spans="1:10" x14ac:dyDescent="0.3">
      <c r="A35" t="s">
        <v>35</v>
      </c>
      <c r="B35">
        <v>2</v>
      </c>
      <c r="C35" t="s">
        <v>74</v>
      </c>
      <c r="D35" t="s">
        <v>67</v>
      </c>
      <c r="E35">
        <v>0</v>
      </c>
      <c r="F35" s="1">
        <v>0.5</v>
      </c>
      <c r="G35" s="1">
        <v>0.5</v>
      </c>
      <c r="H35" t="s">
        <v>80</v>
      </c>
      <c r="I35">
        <v>0.5</v>
      </c>
      <c r="J35">
        <f t="shared" si="0"/>
        <v>0.5</v>
      </c>
    </row>
    <row r="36" spans="1:10" x14ac:dyDescent="0.3">
      <c r="A36" t="s">
        <v>36</v>
      </c>
      <c r="B36">
        <v>1</v>
      </c>
      <c r="C36" t="s">
        <v>66</v>
      </c>
      <c r="D36" t="s">
        <v>67</v>
      </c>
      <c r="E36">
        <v>0</v>
      </c>
      <c r="F36" s="1">
        <v>1</v>
      </c>
      <c r="G36" s="1">
        <v>0</v>
      </c>
      <c r="H36" t="s">
        <v>84</v>
      </c>
      <c r="I36">
        <v>1</v>
      </c>
      <c r="J36">
        <f t="shared" si="0"/>
        <v>0</v>
      </c>
    </row>
    <row r="37" spans="1:10" x14ac:dyDescent="0.3">
      <c r="A37" t="s">
        <v>37</v>
      </c>
      <c r="B37">
        <v>1</v>
      </c>
      <c r="C37" t="s">
        <v>66</v>
      </c>
      <c r="D37" t="s">
        <v>67</v>
      </c>
      <c r="E37">
        <v>0</v>
      </c>
      <c r="F37" s="1">
        <v>0</v>
      </c>
      <c r="G37" s="1">
        <v>1</v>
      </c>
      <c r="H37" t="s">
        <v>84</v>
      </c>
      <c r="I37">
        <v>1</v>
      </c>
      <c r="J37">
        <f t="shared" si="0"/>
        <v>0</v>
      </c>
    </row>
    <row r="38" spans="1:10" x14ac:dyDescent="0.3">
      <c r="A38" t="s">
        <v>38</v>
      </c>
      <c r="B38">
        <v>1</v>
      </c>
      <c r="C38" t="s">
        <v>66</v>
      </c>
      <c r="D38" t="s">
        <v>67</v>
      </c>
      <c r="E38">
        <v>0</v>
      </c>
      <c r="F38" s="1">
        <v>1</v>
      </c>
      <c r="G38" s="1">
        <v>0</v>
      </c>
      <c r="H38" t="s">
        <v>83</v>
      </c>
      <c r="I38">
        <v>0</v>
      </c>
      <c r="J38">
        <f t="shared" si="0"/>
        <v>1</v>
      </c>
    </row>
    <row r="39" spans="1:10" x14ac:dyDescent="0.3">
      <c r="A39" t="s">
        <v>39</v>
      </c>
      <c r="B39">
        <v>1</v>
      </c>
      <c r="C39" t="s">
        <v>66</v>
      </c>
      <c r="D39" t="s">
        <v>67</v>
      </c>
      <c r="E39">
        <v>0</v>
      </c>
      <c r="F39" s="1">
        <v>0</v>
      </c>
      <c r="G39" s="1">
        <v>1</v>
      </c>
      <c r="H39" t="s">
        <v>83</v>
      </c>
      <c r="I39">
        <v>0</v>
      </c>
      <c r="J39">
        <f t="shared" si="0"/>
        <v>1</v>
      </c>
    </row>
    <row r="40" spans="1:10" x14ac:dyDescent="0.3">
      <c r="A40" t="s">
        <v>40</v>
      </c>
      <c r="B40">
        <v>2</v>
      </c>
      <c r="C40" t="s">
        <v>74</v>
      </c>
      <c r="D40" t="s">
        <v>67</v>
      </c>
      <c r="E40">
        <v>0</v>
      </c>
      <c r="F40" s="1">
        <v>1</v>
      </c>
      <c r="G40" s="1">
        <v>0</v>
      </c>
      <c r="H40" t="s">
        <v>80</v>
      </c>
      <c r="I40">
        <v>0.5</v>
      </c>
      <c r="J40">
        <f t="shared" si="0"/>
        <v>0.5</v>
      </c>
    </row>
    <row r="41" spans="1:10" x14ac:dyDescent="0.3">
      <c r="A41" t="s">
        <v>41</v>
      </c>
      <c r="B41">
        <v>2</v>
      </c>
      <c r="C41" t="s">
        <v>74</v>
      </c>
      <c r="D41" t="s">
        <v>67</v>
      </c>
      <c r="E41">
        <v>0</v>
      </c>
      <c r="F41" s="1">
        <v>0</v>
      </c>
      <c r="G41" s="1">
        <v>1</v>
      </c>
      <c r="H41" t="s">
        <v>80</v>
      </c>
      <c r="I41">
        <v>0.5</v>
      </c>
      <c r="J41">
        <f t="shared" si="0"/>
        <v>0.5</v>
      </c>
    </row>
    <row r="42" spans="1:10" x14ac:dyDescent="0.3">
      <c r="A42" t="s">
        <v>42</v>
      </c>
      <c r="B42">
        <v>5</v>
      </c>
      <c r="C42" t="s">
        <v>75</v>
      </c>
      <c r="D42" t="s">
        <v>67</v>
      </c>
      <c r="E42">
        <v>0</v>
      </c>
      <c r="F42" s="1">
        <v>0.4</v>
      </c>
      <c r="G42" s="1">
        <v>0.6</v>
      </c>
      <c r="H42" t="s">
        <v>82</v>
      </c>
      <c r="I42">
        <f>2/5</f>
        <v>0.4</v>
      </c>
      <c r="J42">
        <f t="shared" si="0"/>
        <v>0.6</v>
      </c>
    </row>
    <row r="43" spans="1:10" x14ac:dyDescent="0.3">
      <c r="A43" t="s">
        <v>43</v>
      </c>
      <c r="B43">
        <v>3</v>
      </c>
      <c r="C43" t="s">
        <v>77</v>
      </c>
      <c r="D43" t="s">
        <v>67</v>
      </c>
      <c r="E43">
        <v>0</v>
      </c>
      <c r="F43" s="1">
        <v>0.33333333333333331</v>
      </c>
      <c r="G43" s="1">
        <v>0.66666666666666663</v>
      </c>
      <c r="H43" t="s">
        <v>81</v>
      </c>
      <c r="I43">
        <f>1/3</f>
        <v>0.33333333333333331</v>
      </c>
      <c r="J43">
        <f t="shared" si="0"/>
        <v>0.66666666666666674</v>
      </c>
    </row>
    <row r="44" spans="1:10" x14ac:dyDescent="0.3">
      <c r="A44" t="s">
        <v>44</v>
      </c>
      <c r="B44">
        <v>2</v>
      </c>
      <c r="C44" t="s">
        <v>77</v>
      </c>
      <c r="D44" t="s">
        <v>67</v>
      </c>
      <c r="E44">
        <v>0</v>
      </c>
      <c r="F44" s="1">
        <v>0.5</v>
      </c>
      <c r="G44" s="1">
        <v>0.5</v>
      </c>
      <c r="H44" t="s">
        <v>91</v>
      </c>
      <c r="I44">
        <v>0</v>
      </c>
      <c r="J44">
        <f t="shared" si="0"/>
        <v>1</v>
      </c>
    </row>
    <row r="45" spans="1:10" x14ac:dyDescent="0.3">
      <c r="A45" t="s">
        <v>45</v>
      </c>
      <c r="B45">
        <v>4</v>
      </c>
      <c r="C45" t="s">
        <v>75</v>
      </c>
      <c r="D45" t="s">
        <v>67</v>
      </c>
      <c r="E45">
        <v>0</v>
      </c>
      <c r="F45" s="1">
        <v>0.25</v>
      </c>
      <c r="G45" s="1">
        <v>0.75</v>
      </c>
      <c r="H45" t="s">
        <v>87</v>
      </c>
      <c r="I45">
        <v>0.5</v>
      </c>
      <c r="J45">
        <f t="shared" si="0"/>
        <v>0.5</v>
      </c>
    </row>
    <row r="46" spans="1:10" x14ac:dyDescent="0.3">
      <c r="A46" t="s">
        <v>46</v>
      </c>
      <c r="B46">
        <v>3</v>
      </c>
      <c r="C46" t="s">
        <v>75</v>
      </c>
      <c r="D46" t="s">
        <v>67</v>
      </c>
      <c r="E46">
        <v>0</v>
      </c>
      <c r="F46" s="1">
        <v>0.33333333333333331</v>
      </c>
      <c r="G46" s="1">
        <v>0.66666666666666663</v>
      </c>
      <c r="H46" t="s">
        <v>85</v>
      </c>
      <c r="I46">
        <f>2/3</f>
        <v>0.66666666666666663</v>
      </c>
      <c r="J46">
        <f t="shared" si="0"/>
        <v>0.33333333333333337</v>
      </c>
    </row>
    <row r="47" spans="1:10" x14ac:dyDescent="0.3">
      <c r="A47" t="s">
        <v>47</v>
      </c>
      <c r="B47">
        <v>2</v>
      </c>
      <c r="C47" t="s">
        <v>76</v>
      </c>
      <c r="D47" t="s">
        <v>67</v>
      </c>
      <c r="E47">
        <v>0</v>
      </c>
      <c r="F47" s="1">
        <v>0</v>
      </c>
      <c r="G47" s="1">
        <v>1</v>
      </c>
      <c r="H47" t="s">
        <v>80</v>
      </c>
      <c r="I47">
        <v>0.5</v>
      </c>
      <c r="J47">
        <f t="shared" si="0"/>
        <v>0.5</v>
      </c>
    </row>
    <row r="48" spans="1:10" x14ac:dyDescent="0.3">
      <c r="A48" t="s">
        <v>48</v>
      </c>
      <c r="B48">
        <v>3</v>
      </c>
      <c r="C48" t="s">
        <v>76</v>
      </c>
      <c r="D48" t="s">
        <v>67</v>
      </c>
      <c r="E48">
        <v>0</v>
      </c>
      <c r="F48" s="1">
        <v>0</v>
      </c>
      <c r="G48" s="1">
        <v>1</v>
      </c>
      <c r="H48" t="s">
        <v>85</v>
      </c>
      <c r="I48">
        <f>2/3</f>
        <v>0.66666666666666663</v>
      </c>
      <c r="J48">
        <f t="shared" si="0"/>
        <v>0.33333333333333337</v>
      </c>
    </row>
    <row r="49" spans="1:10" x14ac:dyDescent="0.3">
      <c r="A49" t="s">
        <v>49</v>
      </c>
      <c r="B49">
        <v>4</v>
      </c>
      <c r="C49" t="s">
        <v>75</v>
      </c>
      <c r="D49" t="s">
        <v>67</v>
      </c>
      <c r="E49">
        <v>0</v>
      </c>
      <c r="F49" s="1">
        <v>0</v>
      </c>
      <c r="G49" s="1">
        <v>1</v>
      </c>
      <c r="H49" t="s">
        <v>87</v>
      </c>
      <c r="I49">
        <v>0.5</v>
      </c>
      <c r="J49">
        <f t="shared" si="0"/>
        <v>0.5</v>
      </c>
    </row>
    <row r="50" spans="1:10" x14ac:dyDescent="0.3">
      <c r="A50" t="s">
        <v>50</v>
      </c>
      <c r="B50">
        <v>3</v>
      </c>
      <c r="C50" t="s">
        <v>75</v>
      </c>
      <c r="D50" t="s">
        <v>67</v>
      </c>
      <c r="E50">
        <v>0</v>
      </c>
      <c r="F50" s="1">
        <v>0</v>
      </c>
      <c r="G50" s="1">
        <v>1</v>
      </c>
      <c r="H50" t="s">
        <v>85</v>
      </c>
      <c r="I50">
        <f>2/3</f>
        <v>0.66666666666666663</v>
      </c>
      <c r="J50">
        <f t="shared" si="0"/>
        <v>0.33333333333333337</v>
      </c>
    </row>
    <row r="51" spans="1:10" x14ac:dyDescent="0.3">
      <c r="A51" t="s">
        <v>51</v>
      </c>
      <c r="B51">
        <v>4</v>
      </c>
      <c r="C51" t="s">
        <v>75</v>
      </c>
      <c r="D51" t="s">
        <v>67</v>
      </c>
      <c r="E51">
        <v>0</v>
      </c>
      <c r="F51" s="1">
        <v>0</v>
      </c>
      <c r="G51" s="1">
        <v>1</v>
      </c>
      <c r="H51" t="s">
        <v>87</v>
      </c>
      <c r="I51">
        <v>0.5</v>
      </c>
      <c r="J51">
        <f t="shared" si="0"/>
        <v>0.5</v>
      </c>
    </row>
    <row r="52" spans="1:10" x14ac:dyDescent="0.3">
      <c r="A52" t="s">
        <v>52</v>
      </c>
      <c r="B52">
        <v>2</v>
      </c>
      <c r="C52" t="s">
        <v>74</v>
      </c>
      <c r="D52" t="s">
        <v>69</v>
      </c>
      <c r="E52">
        <v>1</v>
      </c>
      <c r="F52" s="1">
        <v>0</v>
      </c>
      <c r="G52" s="1">
        <v>1</v>
      </c>
      <c r="H52" t="s">
        <v>80</v>
      </c>
      <c r="I52">
        <v>0.5</v>
      </c>
      <c r="J52">
        <f t="shared" si="0"/>
        <v>0.5</v>
      </c>
    </row>
    <row r="53" spans="1:10" x14ac:dyDescent="0.3">
      <c r="A53" t="s">
        <v>53</v>
      </c>
      <c r="B53">
        <v>3</v>
      </c>
      <c r="C53" t="s">
        <v>78</v>
      </c>
      <c r="D53" t="s">
        <v>67</v>
      </c>
      <c r="E53">
        <v>0</v>
      </c>
      <c r="F53" s="1">
        <v>0.33333333333333331</v>
      </c>
      <c r="G53" s="1">
        <v>0.66666666666666663</v>
      </c>
      <c r="H53" t="s">
        <v>85</v>
      </c>
      <c r="I53">
        <f>2/3</f>
        <v>0.66666666666666663</v>
      </c>
      <c r="J53">
        <f t="shared" si="0"/>
        <v>0.33333333333333337</v>
      </c>
    </row>
    <row r="54" spans="1:10" x14ac:dyDescent="0.3">
      <c r="A54" t="s">
        <v>54</v>
      </c>
      <c r="B54">
        <v>4</v>
      </c>
      <c r="C54" t="s">
        <v>75</v>
      </c>
      <c r="D54" t="s">
        <v>67</v>
      </c>
      <c r="E54">
        <v>0</v>
      </c>
      <c r="F54" s="1">
        <v>0.25</v>
      </c>
      <c r="G54" s="1">
        <v>0.75</v>
      </c>
      <c r="H54" t="s">
        <v>87</v>
      </c>
      <c r="I54">
        <v>0.5</v>
      </c>
      <c r="J54">
        <f t="shared" si="0"/>
        <v>0.5</v>
      </c>
    </row>
    <row r="55" spans="1:10" x14ac:dyDescent="0.3">
      <c r="A55" t="s">
        <v>55</v>
      </c>
      <c r="B55">
        <v>2</v>
      </c>
      <c r="C55" t="s">
        <v>74</v>
      </c>
      <c r="D55" t="s">
        <v>69</v>
      </c>
      <c r="E55">
        <v>1</v>
      </c>
      <c r="F55" s="1">
        <v>0</v>
      </c>
      <c r="G55" s="1">
        <v>1</v>
      </c>
      <c r="H55" t="s">
        <v>80</v>
      </c>
      <c r="I55">
        <v>0.5</v>
      </c>
      <c r="J55">
        <f t="shared" si="0"/>
        <v>0.5</v>
      </c>
    </row>
    <row r="56" spans="1:10" x14ac:dyDescent="0.3">
      <c r="A56" t="s">
        <v>56</v>
      </c>
      <c r="B56">
        <v>2</v>
      </c>
      <c r="C56" t="s">
        <v>74</v>
      </c>
      <c r="D56" t="s">
        <v>67</v>
      </c>
      <c r="E56">
        <v>0</v>
      </c>
      <c r="F56" s="1">
        <v>1</v>
      </c>
      <c r="G56" s="1">
        <v>0</v>
      </c>
      <c r="H56" t="s">
        <v>80</v>
      </c>
      <c r="I56">
        <v>0.5</v>
      </c>
      <c r="J56">
        <f t="shared" si="0"/>
        <v>0.5</v>
      </c>
    </row>
    <row r="57" spans="1:10" x14ac:dyDescent="0.3">
      <c r="A57" t="s">
        <v>57</v>
      </c>
      <c r="B57">
        <v>4</v>
      </c>
      <c r="C57" t="s">
        <v>75</v>
      </c>
      <c r="D57" t="s">
        <v>67</v>
      </c>
      <c r="E57">
        <v>0</v>
      </c>
      <c r="F57" s="1">
        <v>0.25</v>
      </c>
      <c r="G57" s="1">
        <v>0.75</v>
      </c>
      <c r="H57" t="s">
        <v>87</v>
      </c>
      <c r="I57">
        <v>0.5</v>
      </c>
      <c r="J57">
        <f t="shared" si="0"/>
        <v>0.5</v>
      </c>
    </row>
    <row r="58" spans="1:10" x14ac:dyDescent="0.3">
      <c r="A58" t="s">
        <v>58</v>
      </c>
      <c r="B58">
        <v>4</v>
      </c>
      <c r="C58" t="s">
        <v>75</v>
      </c>
      <c r="D58" t="s">
        <v>67</v>
      </c>
      <c r="E58">
        <v>0</v>
      </c>
      <c r="F58" s="1">
        <v>0.25</v>
      </c>
      <c r="G58" s="1">
        <v>0.75</v>
      </c>
      <c r="H58" t="s">
        <v>87</v>
      </c>
      <c r="I58">
        <v>0.5</v>
      </c>
      <c r="J58">
        <f t="shared" si="0"/>
        <v>0.5</v>
      </c>
    </row>
    <row r="59" spans="1:10" x14ac:dyDescent="0.3">
      <c r="A59" t="s">
        <v>59</v>
      </c>
      <c r="B59">
        <v>2</v>
      </c>
      <c r="C59" t="s">
        <v>74</v>
      </c>
      <c r="D59" t="s">
        <v>69</v>
      </c>
      <c r="E59">
        <v>1</v>
      </c>
      <c r="F59" s="1">
        <v>0</v>
      </c>
      <c r="G59" s="1">
        <v>1</v>
      </c>
      <c r="H59" t="s">
        <v>80</v>
      </c>
      <c r="I59">
        <v>0.5</v>
      </c>
      <c r="J59">
        <f t="shared" si="0"/>
        <v>0.5</v>
      </c>
    </row>
    <row r="60" spans="1:10" x14ac:dyDescent="0.3">
      <c r="A60" t="s">
        <v>60</v>
      </c>
      <c r="B60">
        <v>5</v>
      </c>
      <c r="C60" t="s">
        <v>75</v>
      </c>
      <c r="D60" t="s">
        <v>67</v>
      </c>
      <c r="E60">
        <v>0</v>
      </c>
      <c r="F60" s="1">
        <v>0</v>
      </c>
      <c r="G60" s="1">
        <v>1</v>
      </c>
      <c r="H60" t="s">
        <v>92</v>
      </c>
      <c r="I60">
        <f>3/5</f>
        <v>0.6</v>
      </c>
      <c r="J60">
        <f t="shared" si="0"/>
        <v>0.4</v>
      </c>
    </row>
    <row r="61" spans="1:10" x14ac:dyDescent="0.3">
      <c r="A61" t="s">
        <v>61</v>
      </c>
      <c r="B61">
        <v>3</v>
      </c>
      <c r="C61" t="s">
        <v>75</v>
      </c>
      <c r="D61" t="s">
        <v>67</v>
      </c>
      <c r="E61">
        <v>0</v>
      </c>
      <c r="F61" s="1">
        <v>0.33333333333333331</v>
      </c>
      <c r="G61" s="1">
        <v>0.66666666666666663</v>
      </c>
      <c r="H61" t="s">
        <v>85</v>
      </c>
      <c r="I61">
        <f>2/3</f>
        <v>0.66666666666666663</v>
      </c>
      <c r="J61">
        <f t="shared" si="0"/>
        <v>0.33333333333333337</v>
      </c>
    </row>
    <row r="62" spans="1:10" x14ac:dyDescent="0.3">
      <c r="A62" t="s">
        <v>63</v>
      </c>
      <c r="B62">
        <v>3</v>
      </c>
      <c r="C62" t="s">
        <v>75</v>
      </c>
      <c r="D62" t="s">
        <v>67</v>
      </c>
      <c r="E62">
        <v>0</v>
      </c>
      <c r="F62" s="1">
        <v>0.66666666666666663</v>
      </c>
      <c r="G62" s="1">
        <v>0.33333333333333331</v>
      </c>
      <c r="H62" t="s">
        <v>81</v>
      </c>
      <c r="I62">
        <f>1/3</f>
        <v>0.33333333333333331</v>
      </c>
      <c r="J62">
        <f t="shared" si="0"/>
        <v>0.66666666666666674</v>
      </c>
    </row>
    <row r="63" spans="1:10" x14ac:dyDescent="0.3">
      <c r="A63" t="s">
        <v>62</v>
      </c>
      <c r="B63">
        <v>4</v>
      </c>
      <c r="C63" t="s">
        <v>75</v>
      </c>
      <c r="D63" t="s">
        <v>67</v>
      </c>
      <c r="E63">
        <v>0</v>
      </c>
      <c r="F63" s="1">
        <v>0.25</v>
      </c>
      <c r="G63" s="1">
        <v>0.75</v>
      </c>
      <c r="H63" t="s">
        <v>87</v>
      </c>
      <c r="I63">
        <v>0.5</v>
      </c>
      <c r="J63">
        <f t="shared" si="0"/>
        <v>0.5</v>
      </c>
    </row>
    <row r="64" spans="1:10" x14ac:dyDescent="0.3">
      <c r="A64" t="s">
        <v>64</v>
      </c>
      <c r="B64">
        <v>2</v>
      </c>
      <c r="C64" t="s">
        <v>74</v>
      </c>
      <c r="D64" t="s">
        <v>69</v>
      </c>
      <c r="E64">
        <v>1</v>
      </c>
      <c r="F64" s="1">
        <v>0</v>
      </c>
      <c r="G64" s="1">
        <v>1</v>
      </c>
      <c r="H64" t="s">
        <v>80</v>
      </c>
      <c r="I64">
        <v>0.5</v>
      </c>
      <c r="J64">
        <f t="shared" si="0"/>
        <v>0.5</v>
      </c>
    </row>
    <row r="65" spans="1:10" x14ac:dyDescent="0.3">
      <c r="A65" t="s">
        <v>65</v>
      </c>
      <c r="B65">
        <v>2</v>
      </c>
      <c r="C65" t="s">
        <v>74</v>
      </c>
      <c r="D65" t="s">
        <v>67</v>
      </c>
      <c r="E65">
        <v>0</v>
      </c>
      <c r="F65" s="1">
        <v>1</v>
      </c>
      <c r="G65" s="1">
        <v>0</v>
      </c>
      <c r="H65" t="s">
        <v>80</v>
      </c>
      <c r="I65">
        <v>0.5</v>
      </c>
      <c r="J65">
        <f t="shared" si="0"/>
        <v>0.5</v>
      </c>
    </row>
  </sheetData>
  <conditionalFormatting sqref="F2:F6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Katharina Rieck</dc:creator>
  <cp:lastModifiedBy>Rieck, Katharina</cp:lastModifiedBy>
  <dcterms:created xsi:type="dcterms:W3CDTF">2015-06-05T18:19:34Z</dcterms:created>
  <dcterms:modified xsi:type="dcterms:W3CDTF">2024-08-27T08:36:24Z</dcterms:modified>
</cp:coreProperties>
</file>